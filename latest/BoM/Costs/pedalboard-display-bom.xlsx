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DNF" sheetId="2" r:id="rId2"/>
    <sheet name="Costs" sheetId="3" r:id="rId3"/>
    <sheet name="Costs (DNF)" sheetId="4" r:id="rId4"/>
    <sheet name="Colors" sheetId="5" r:id="rId5"/>
  </sheets>
  <definedNames>
    <definedName name="BoardQty" localSheetId="3">'Costs (DNF)'!$H$2</definedName>
    <definedName name="BoardQty" localSheetId="2">'Costs'!$H$2</definedName>
    <definedName name="_xlnm.Print_Titles" localSheetId="0">BoM!$9:$9</definedName>
    <definedName name="_xlnm.Print_Titles" localSheetId="1">DNF!$9:$9</definedName>
    <definedName name="TotalCost" localSheetId="3">'Costs (DNF)'!$H$4</definedName>
    <definedName name="TotalCost" localSheetId="2">'Costs'!$H$4</definedName>
  </definedNames>
  <calcPr calcId="124519" fullCalcOnLoad="1"/>
</workbook>
</file>

<file path=xl/comments1.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comments2.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sharedStrings.xml><?xml version="1.0" encoding="utf-8"?>
<sst xmlns="http://schemas.openxmlformats.org/spreadsheetml/2006/main" count="236" uniqueCount="107">
  <si>
    <t>Row</t>
  </si>
  <si>
    <t>Description</t>
  </si>
  <si>
    <t>Part</t>
  </si>
  <si>
    <t>References</t>
  </si>
  <si>
    <t>Value</t>
  </si>
  <si>
    <t>Footprint</t>
  </si>
  <si>
    <t>Quantity Per PCB</t>
  </si>
  <si>
    <t>Status</t>
  </si>
  <si>
    <t>Datasheet</t>
  </si>
  <si>
    <t>Supplier</t>
  </si>
  <si>
    <t>1</t>
  </si>
  <si>
    <t/>
  </si>
  <si>
    <t>C</t>
  </si>
  <si>
    <t>C1 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t>
  </si>
  <si>
    <t>1uF</t>
  </si>
  <si>
    <t>C_0402_1005Metric</t>
  </si>
  <si>
    <t>98</t>
  </si>
  <si>
    <t xml:space="preserve"> </t>
  </si>
  <si>
    <t>https://media.digikey.com/pdf/Data%20Sheets/Samsung%20PDFs/CL_Series_MLCC_ds.pdf</t>
  </si>
  <si>
    <t>https://www.digikey.ch/de/products/detail/samsung-electro-mechanics/CL05A105KP5NNNC/3886734</t>
  </si>
  <si>
    <t>2</t>
  </si>
  <si>
    <t>SK6812</t>
  </si>
  <si>
    <t>D1 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t>
  </si>
  <si>
    <t>SK6812_EC15</t>
  </si>
  <si>
    <t>LED_SK6812_EC15_1.5x1.5mm</t>
  </si>
  <si>
    <t>https://www.inolux-corp.com/datasheet/SMDLED/Addressable%20LED/IN-PI15TAT5R5G5B_v1.0.pdf</t>
  </si>
  <si>
    <t>https://www.digikey.ch/en/products/detail/inolux/IN-PI15TAT5R5G5B/14555725</t>
  </si>
  <si>
    <t>3</t>
  </si>
  <si>
    <t>Conn_01x03_Pin</t>
  </si>
  <si>
    <t>J1</t>
  </si>
  <si>
    <t>JST PH 3</t>
  </si>
  <si>
    <t>JST_PH_B3B-PH-SM4-TB_1x03-1MP_P2.00mm_Vertical</t>
  </si>
  <si>
    <t>https://www.jst-mfg.com/product/pdf/eng/ePH.pdf</t>
  </si>
  <si>
    <t>https://www.digikey.ch/de/products/detail/jst-sales-america-inc/B3B-PH-SM4-TB/926832</t>
  </si>
  <si>
    <t>4</t>
  </si>
  <si>
    <t>Conn_01x04_Pin</t>
  </si>
  <si>
    <t>J3</t>
  </si>
  <si>
    <t>JST PH 4</t>
  </si>
  <si>
    <t>JST_PH_B4B-PH-SM4-TB_1x04-1MP_P2.00mm_Vertical</t>
  </si>
  <si>
    <t>https://www.digikey.ch/de/products/detail/jst-sales-america-inc./B4B-PH-SM4-TB/926833</t>
  </si>
  <si>
    <t>5</t>
  </si>
  <si>
    <t>R</t>
  </si>
  <si>
    <t>R1</t>
  </si>
  <si>
    <t>330</t>
  </si>
  <si>
    <t>R_0402_1005Metric</t>
  </si>
  <si>
    <t>https://www.passivecomponent.com/wp-content/uploads/chipR/ASC_WR.pdf</t>
  </si>
  <si>
    <t>https://www.digikey.ch/en/products/detail/walsin-technology-corporation/WR04X3300FTL/13239224</t>
  </si>
  <si>
    <t>6</t>
  </si>
  <si>
    <t>OLED</t>
  </si>
  <si>
    <t>U1 U2</t>
  </si>
  <si>
    <t>OLED I2C</t>
  </si>
  <si>
    <t>OLED_128x128</t>
  </si>
  <si>
    <t>img/GME12812.pdf</t>
  </si>
  <si>
    <t>https://www.aliexpress.com/item/1005005253671396.html</t>
  </si>
  <si>
    <t>KiBot Bill of Materials</t>
  </si>
  <si>
    <t>Schematic:</t>
  </si>
  <si>
    <t>pedalboard-display</t>
  </si>
  <si>
    <t>Variant:</t>
  </si>
  <si>
    <t>default</t>
  </si>
  <si>
    <t>Revision:</t>
  </si>
  <si>
    <t>1.0.1-RC</t>
  </si>
  <si>
    <t>Date:</t>
  </si>
  <si>
    <t>2024-10-16</t>
  </si>
  <si>
    <t>KiCad Version:</t>
  </si>
  <si>
    <t>9.0.7+1</t>
  </si>
  <si>
    <t>Component Groups:</t>
  </si>
  <si>
    <t>Component Count:</t>
  </si>
  <si>
    <t>204 (202 SMD/ 2 THT)</t>
  </si>
  <si>
    <t>Fitted Components:</t>
  </si>
  <si>
    <t>201 (199 SMD/ 2 THT)</t>
  </si>
  <si>
    <t>Number of PCBs:</t>
  </si>
  <si>
    <t>Total Components:</t>
  </si>
  <si>
    <t>J2</t>
  </si>
  <si>
    <t xml:space="preserve"> (DNF)</t>
  </si>
  <si>
    <t>R2 R3</t>
  </si>
  <si>
    <t>3K3</t>
  </si>
  <si>
    <t>R_0805_2012Metric</t>
  </si>
  <si>
    <t>https://www.seielect.com/catalog/sei-rmcf_rmcp.pdf</t>
  </si>
  <si>
    <t>https://www.digikey.ch/en/products/detail/stackpole-electronics-inc/RMCF0805FT3K30/1760325</t>
  </si>
  <si>
    <t>Global Part Info</t>
  </si>
  <si>
    <t>Manf#</t>
  </si>
  <si>
    <t>Build Quantity</t>
  </si>
  <si>
    <t>Unit$</t>
  </si>
  <si>
    <t>Ext$</t>
  </si>
  <si>
    <t>Generic connector, single row, 01x04, script generated</t>
  </si>
  <si>
    <t>Board Qty:</t>
  </si>
  <si>
    <t>Total Cost:</t>
  </si>
  <si>
    <t>Unit Cost:</t>
  </si>
  <si>
    <t>Created:</t>
  </si>
  <si>
    <t>2026-04-14 21:55:23</t>
  </si>
  <si>
    <t>KiCost® v1.1.20 + KiBot v1.8.5</t>
  </si>
  <si>
    <t>Resistor</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</si>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</sst>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1">
    <numFmt numFmtId="164" formatCode="$#,##0.00"/>
  </numFmts>
  <fonts count="14">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sz val="12"/>
      <color rgb="FFFFFFFF"/>
      <name val="Calibri"/>
      <family val="2"/>
      <scheme val="minor"/>
    </font>
    <font>
      <b/>
      <sz val="11"/>
      <color rgb="FFFFFFFF"/>
      <name val="Calibri"/>
      <family val="2"/>
      <scheme val="minor"/>
    </font>
    <font>
      <sz val="8"/>
      <color theme="1"/>
      <name val="Calibri"/>
      <family val="2"/>
      <scheme val="minor"/>
    </font>
    <font>
      <sz val="11"/>
      <color rgb="FFFFFFFF"/>
      <name val="Calibri"/>
      <family val="2"/>
      <scheme val="minor"/>
    </font>
    <font>
      <sz val="11"/>
      <color rgb="FF000000"/>
      <name val="Calibri"/>
      <family val="2"/>
      <scheme val="minor"/>
    </font>
    <font>
      <sz val="11"/>
      <color rgb="FF909090"/>
      <name val="Calibri"/>
      <family val="2"/>
      <scheme val="minor"/>
    </font>
    <font>
      <sz val="8"/>
      <color indexed="81"/>
      <name val="Tahoma"/>
      <family val="2"/>
    </font>
  </fonts>
  <fills count="19">
    <fill>
      <patternFill patternType="none"/>
    </fill>
    <fill>
      <patternFill patternType="gray125"/>
    </fill>
    <fill>
      <patternFill patternType="solid">
        <fgColor rgb="FF009879"/>
        <bgColor indexed="64"/>
      </patternFill>
    </fill>
    <fill>
      <patternFill patternType="solid">
        <fgColor rgb="FFE6FFEE"/>
        <bgColor indexed="64"/>
      </patternFill>
    </fill>
    <fill>
      <patternFill patternType="solid">
        <fgColor rgb="FFFF8080"/>
        <bgColor indexed="64"/>
      </patternFill>
    </fill>
    <fill>
      <patternFill patternType="solid">
        <fgColor rgb="FFFFE6B3"/>
        <bgColor indexed="64"/>
      </patternFill>
    </fill>
    <fill>
      <patternFill patternType="solid">
        <fgColor rgb="FFE6F9FF"/>
        <bgColor indexed="64"/>
      </patternFill>
    </fill>
    <fill>
      <patternFill patternType="solid">
        <fgColor rgb="FFF0FFF4"/>
        <bgColor indexed="64"/>
      </patternFill>
    </fill>
    <fill>
      <patternFill patternType="solid">
        <fgColor rgb="FFFF8A8A"/>
        <bgColor indexed="64"/>
      </patternFill>
    </fill>
    <fill>
      <patternFill patternType="solid">
        <fgColor rgb="FFFFF0BD"/>
        <bgColor indexed="64"/>
      </patternFill>
    </fill>
    <fill>
      <patternFill patternType="solid">
        <fgColor rgb="FFF0FFFF"/>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1">
    <xf numFmtId="0" fontId="0" fillId="0" borderId="0"/>
  </cellStyleXfs>
  <cellXfs count="33">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0" fillId="9" borderId="0" xfId="0" applyFill="1" applyAlignment="1">
      <alignment horizontal="centerContinuous" vertical="center" wrapText="1"/>
    </xf>
    <xf numFmtId="0" fontId="0" fillId="10"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2" borderId="0" xfId="0" applyFont="1" applyFill="1" applyAlignment="1">
      <alignment horizontal="center" vertical="center"/>
    </xf>
    <xf numFmtId="0" fontId="8" fillId="2" borderId="0" xfId="0" applyFont="1" applyFill="1" applyAlignment="1">
      <alignment horizontal="center" vertical="top" wrapText="1"/>
    </xf>
    <xf numFmtId="0" fontId="0" fillId="0" borderId="0" xfId="0" applyAlignment="1">
      <alignment vertical="center" wrapText="1"/>
    </xf>
    <xf numFmtId="164" fontId="0" fillId="0" borderId="0" xfId="0" applyNumberFormat="1" applyAlignment="1">
      <alignment vertical="center"/>
    </xf>
    <xf numFmtId="0" fontId="2" fillId="0" borderId="0" xfId="0" applyFont="1" applyAlignment="1">
      <alignment horizontal="right" vertical="center"/>
    </xf>
    <xf numFmtId="0" fontId="0" fillId="0" borderId="0" xfId="0" applyAlignment="1">
      <alignment horizontal="left" vertical="center"/>
    </xf>
    <xf numFmtId="0" fontId="9" fillId="0" borderId="0" xfId="0" applyFont="1" applyAlignment="1">
      <alignment horizontal="left" vertical="center"/>
    </xf>
    <xf numFmtId="0" fontId="0" fillId="11" borderId="0" xfId="0" applyFill="1"/>
    <xf numFmtId="0" fontId="0" fillId="12" borderId="0" xfId="0" applyFill="1"/>
    <xf numFmtId="0" fontId="10" fillId="13" borderId="0" xfId="0" applyFont="1" applyFill="1"/>
    <xf numFmtId="0" fontId="10" fillId="14" borderId="0" xfId="0" applyFont="1" applyFill="1"/>
    <xf numFmtId="0" fontId="0" fillId="15" borderId="0" xfId="0" applyFill="1"/>
    <xf numFmtId="0" fontId="11" fillId="16" borderId="0" xfId="0" applyFont="1" applyFill="1"/>
    <xf numFmtId="0" fontId="0" fillId="17" borderId="0" xfId="0" applyFill="1"/>
    <xf numFmtId="0" fontId="0" fillId="18" borderId="0" xfId="0" applyFill="1" applyAlignment="1">
      <alignment vertical="center" wrapText="1"/>
    </xf>
    <xf numFmtId="0" fontId="12" fillId="0" borderId="0" xfId="0" applyFont="1" applyAlignment="1">
      <alignment horizontal="right" vertical="center"/>
    </xf>
  </cellXfs>
  <cellStyles count="1">
    <cellStyle name="Normal" xfId="0" builtinId="0"/>
  </cellStyles>
  <dxfs count="1">
    <dxf>
      <fill>
        <patternFill>
          <bgColor rgb="FFAAAAAA"/>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2378784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883359</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media.digikey.com/pdf/Data%20Sheets/Samsung%20PDFs/CL_Series_MLCC_ds.pdf" TargetMode="External"/><Relationship Id="rId2" Type="http://schemas.openxmlformats.org/officeDocument/2006/relationships/hyperlink" Target="https://www.inolux-corp.com/datasheet/SMDLED/Addressable%20LED/IN-PI15TAT5R5G5B_v1.0.pdf" TargetMode="External"/><Relationship Id="rId3" Type="http://schemas.openxmlformats.org/officeDocument/2006/relationships/hyperlink" Target="https://www.jst-mfg.com/product/pdf/eng/ePH.pdf" TargetMode="External"/><Relationship Id="rId4" Type="http://schemas.openxmlformats.org/officeDocument/2006/relationships/hyperlink" Target="https://www.jst-mfg.com/product/pdf/eng/ePH.pdf" TargetMode="External"/><Relationship Id="rId5" Type="http://schemas.openxmlformats.org/officeDocument/2006/relationships/hyperlink" Target="https://www.passivecomponent.com/wp-content/uploads/chipR/ASC_WR.pdf" TargetMode="External"/><Relationship Id="rId6" Type="http://schemas.openxmlformats.org/officeDocument/2006/relationships/drawing" Target="../drawings/drawing3.xml"/><Relationship Id="rId7" Type="http://schemas.openxmlformats.org/officeDocument/2006/relationships/vmlDrawing" Target="../drawings/vmlDrawing1.vml"/><Relationship Id="rId8"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jst-mfg.com/product/pdf/eng/ePH.pdf" TargetMode="External"/><Relationship Id="rId2" Type="http://schemas.openxmlformats.org/officeDocument/2006/relationships/hyperlink" Target="https://www.seielect.com/catalog/sei-rmcf_rmcp.pdf" TargetMode="External"/><Relationship Id="rId3" Type="http://schemas.openxmlformats.org/officeDocument/2006/relationships/drawing" Target="../drawings/drawing4.xml"/><Relationship Id="rId4" Type="http://schemas.openxmlformats.org/officeDocument/2006/relationships/vmlDrawing" Target="../drawings/vmlDrawing2.vml"/><Relationship Id="rId5"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J14"/>
  <sheetViews>
    <sheetView tabSelected="1"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60.7109375" customWidth="1"/>
    <col min="5" max="5" width="19.7109375" customWidth="1"/>
    <col min="6" max="6" width="51.7109375" customWidth="1"/>
    <col min="7" max="7" width="26.7109375" customWidth="1"/>
    <col min="8" max="8" width="16.7109375" customWidth="1"/>
    <col min="9"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105" customHeight="1">
      <c r="A9" s="5" t="s">
        <v>10</v>
      </c>
      <c r="B9" s="6" t="s">
        <v>11</v>
      </c>
      <c r="C9" s="7" t="s">
        <v>12</v>
      </c>
      <c r="D9" s="7" t="s">
        <v>13</v>
      </c>
      <c r="E9" s="7" t="s">
        <v>14</v>
      </c>
      <c r="F9" s="7" t="s">
        <v>15</v>
      </c>
      <c r="G9" s="5" t="s">
        <v>16</v>
      </c>
      <c r="H9" s="5" t="s">
        <v>17</v>
      </c>
      <c r="I9" s="7" t="s">
        <v>18</v>
      </c>
      <c r="J9" s="8" t="s">
        <v>19</v>
      </c>
    </row>
    <row r="10" spans="1:10" ht="105" customHeight="1">
      <c r="A10" s="9" t="s">
        <v>20</v>
      </c>
      <c r="B10" s="10" t="s">
        <v>11</v>
      </c>
      <c r="C10" s="11" t="s">
        <v>21</v>
      </c>
      <c r="D10" s="11" t="s">
        <v>22</v>
      </c>
      <c r="E10" s="11" t="s">
        <v>23</v>
      </c>
      <c r="F10" s="11" t="s">
        <v>24</v>
      </c>
      <c r="G10" s="9" t="s">
        <v>16</v>
      </c>
      <c r="H10" s="9" t="s">
        <v>17</v>
      </c>
      <c r="I10" s="11" t="s">
        <v>25</v>
      </c>
      <c r="J10" s="12" t="s">
        <v>26</v>
      </c>
    </row>
    <row r="11" spans="1:10" ht="30" customHeight="1">
      <c r="A11" s="5" t="s">
        <v>27</v>
      </c>
      <c r="B11" s="6" t="s">
        <v>11</v>
      </c>
      <c r="C11" s="7" t="s">
        <v>28</v>
      </c>
      <c r="D11" s="7" t="s">
        <v>29</v>
      </c>
      <c r="E11" s="7" t="s">
        <v>30</v>
      </c>
      <c r="F11" s="7" t="s">
        <v>31</v>
      </c>
      <c r="G11" s="5" t="s">
        <v>10</v>
      </c>
      <c r="H11" s="5" t="s">
        <v>17</v>
      </c>
      <c r="I11" s="7" t="s">
        <v>32</v>
      </c>
      <c r="J11" s="8" t="s">
        <v>33</v>
      </c>
    </row>
    <row r="12" spans="1:10" ht="30" customHeight="1">
      <c r="A12" s="9" t="s">
        <v>34</v>
      </c>
      <c r="B12" s="10" t="s">
        <v>11</v>
      </c>
      <c r="C12" s="11" t="s">
        <v>35</v>
      </c>
      <c r="D12" s="11" t="s">
        <v>36</v>
      </c>
      <c r="E12" s="11" t="s">
        <v>37</v>
      </c>
      <c r="F12" s="11" t="s">
        <v>38</v>
      </c>
      <c r="G12" s="9" t="s">
        <v>10</v>
      </c>
      <c r="H12" s="9" t="s">
        <v>17</v>
      </c>
      <c r="I12" s="11" t="s">
        <v>32</v>
      </c>
      <c r="J12" s="12" t="s">
        <v>39</v>
      </c>
    </row>
    <row r="13" spans="1:10" ht="30" customHeight="1">
      <c r="A13" s="5" t="s">
        <v>40</v>
      </c>
      <c r="B13" s="6" t="s">
        <v>11</v>
      </c>
      <c r="C13" s="7" t="s">
        <v>41</v>
      </c>
      <c r="D13" s="7" t="s">
        <v>42</v>
      </c>
      <c r="E13" s="7" t="s">
        <v>43</v>
      </c>
      <c r="F13" s="7" t="s">
        <v>44</v>
      </c>
      <c r="G13" s="5" t="s">
        <v>10</v>
      </c>
      <c r="H13" s="5" t="s">
        <v>17</v>
      </c>
      <c r="I13" s="7" t="s">
        <v>45</v>
      </c>
      <c r="J13" s="8" t="s">
        <v>46</v>
      </c>
    </row>
    <row r="14" spans="1:10">
      <c r="A14" s="9" t="s">
        <v>47</v>
      </c>
      <c r="B14" s="10" t="s">
        <v>11</v>
      </c>
      <c r="C14" s="11" t="s">
        <v>48</v>
      </c>
      <c r="D14" s="11" t="s">
        <v>49</v>
      </c>
      <c r="E14" s="11" t="s">
        <v>50</v>
      </c>
      <c r="F14" s="11" t="s">
        <v>51</v>
      </c>
      <c r="G14" s="9" t="s">
        <v>20</v>
      </c>
      <c r="H14" s="9" t="s">
        <v>17</v>
      </c>
      <c r="I14" s="11" t="s">
        <v>52</v>
      </c>
      <c r="J14" s="12" t="s">
        <v>53</v>
      </c>
    </row>
  </sheetData>
  <mergeCells count="1">
    <mergeCell ref="C1:J1"/>
  </mergeCells>
  <pageMargins left="0.7" right="0.7" top="0.75" bottom="0.75" header="0.3" footer="0.3"/>
  <pageSetup orientation="landscape"/>
  <drawing r:id="rId1"/>
</worksheet>
</file>

<file path=xl/worksheets/sheet2.xml><?xml version="1.0" encoding="utf-8"?>
<worksheet xmlns="http://schemas.openxmlformats.org/spreadsheetml/2006/main" xmlns:r="http://schemas.openxmlformats.org/officeDocument/2006/relationships">
  <dimension ref="A1:J10"/>
  <sheetViews>
    <sheetView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20.7109375" customWidth="1"/>
    <col min="5" max="5" width="19.7109375" customWidth="1"/>
    <col min="6" max="6" width="51.7109375" customWidth="1"/>
    <col min="7" max="7" width="26.7109375" customWidth="1"/>
    <col min="8" max="8" width="16.7109375" customWidth="1"/>
    <col min="9" max="9" width="55.7109375" customWidth="1"/>
    <col min="10"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30" customHeight="1">
      <c r="A9" s="5" t="s">
        <v>10</v>
      </c>
      <c r="B9" s="6" t="s">
        <v>11</v>
      </c>
      <c r="C9" s="7" t="s">
        <v>28</v>
      </c>
      <c r="D9" s="7" t="s">
        <v>72</v>
      </c>
      <c r="E9" s="7" t="s">
        <v>30</v>
      </c>
      <c r="F9" s="7" t="s">
        <v>31</v>
      </c>
      <c r="G9" s="5" t="s">
        <v>10</v>
      </c>
      <c r="H9" s="5" t="s">
        <v>73</v>
      </c>
      <c r="I9" s="7" t="s">
        <v>32</v>
      </c>
      <c r="J9" s="8" t="s">
        <v>33</v>
      </c>
    </row>
    <row r="10" spans="1:10" ht="30" customHeight="1">
      <c r="A10" s="9" t="s">
        <v>20</v>
      </c>
      <c r="B10" s="10" t="s">
        <v>11</v>
      </c>
      <c r="C10" s="11" t="s">
        <v>41</v>
      </c>
      <c r="D10" s="11" t="s">
        <v>74</v>
      </c>
      <c r="E10" s="11" t="s">
        <v>75</v>
      </c>
      <c r="F10" s="11" t="s">
        <v>76</v>
      </c>
      <c r="G10" s="9" t="s">
        <v>20</v>
      </c>
      <c r="H10" s="9" t="s">
        <v>73</v>
      </c>
      <c r="I10" s="11" t="s">
        <v>77</v>
      </c>
      <c r="J10" s="12" t="s">
        <v>78</v>
      </c>
    </row>
  </sheetData>
  <mergeCells count="1">
    <mergeCell ref="C1:J1"/>
  </mergeCells>
  <pageMargins left="0.7" right="0.7" top="0.75" bottom="0.75" header="0.3" footer="0.3"/>
  <pageSetup orientation="landscape"/>
  <drawing r:id="rId1"/>
</worksheet>
</file>

<file path=xl/worksheets/sheet3.xml><?xml version="1.0" encoding="utf-8"?>
<worksheet xmlns="http://schemas.openxmlformats.org/spreadsheetml/2006/main" xmlns:r="http://schemas.openxmlformats.org/officeDocument/2006/relationships">
  <dimension ref="A1:H19"/>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60.7109375" customWidth="1"/>
    <col min="2" max="2" width="12.7109375" customWidth="1"/>
    <col min="3" max="3" width="55.7109375" customWidth="1" outlineLevel="2"/>
    <col min="4" max="4" width="47.7109375" customWidth="1" outlineLevel="2"/>
    <col min="5" max="5" width="6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SUM(H10:H15)</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ht="105" customHeight="1">
      <c r="A10" s="19" t="s">
        <v>13</v>
      </c>
      <c r="B10" s="19" t="s">
        <v>14</v>
      </c>
      <c r="D10" s="19" t="s">
        <v>15</v>
      </c>
      <c r="E10" s="19" t="s">
        <v>18</v>
      </c>
      <c r="F10" s="19">
        <f>CEILING(BoardQty*98,1)</f>
        <v>98</v>
      </c>
      <c r="H10" s="20">
        <f>IF(AND(ISNUMBER(F10),ISNUMBER(G10)),F10*G10,"")</f>
        <v/>
      </c>
    </row>
    <row r="11" spans="1:8" ht="105" customHeight="1">
      <c r="A11" s="19" t="s">
        <v>22</v>
      </c>
      <c r="B11" s="19" t="s">
        <v>23</v>
      </c>
      <c r="D11" s="19" t="s">
        <v>24</v>
      </c>
      <c r="E11" s="19" t="s">
        <v>25</v>
      </c>
      <c r="F11" s="19">
        <f>CEILING(BoardQty*98,1)</f>
        <v>98</v>
      </c>
      <c r="H11" s="20">
        <f>IF(AND(ISNUMBER(F11),ISNUMBER(G11)),F11*G11,"")</f>
        <v/>
      </c>
    </row>
    <row r="12" spans="1:8">
      <c r="A12" s="19" t="s">
        <v>29</v>
      </c>
      <c r="B12" s="19" t="s">
        <v>30</v>
      </c>
      <c r="D12" s="19" t="s">
        <v>31</v>
      </c>
      <c r="E12" s="19" t="s">
        <v>32</v>
      </c>
      <c r="F12" s="19">
        <f>BoardQty*1</f>
        <v>1</v>
      </c>
      <c r="H12" s="20">
        <f>IF(AND(ISNUMBER(F12),ISNUMBER(G12)),F12*G12,"")</f>
        <v/>
      </c>
    </row>
    <row r="13" spans="1:8">
      <c r="A13" s="19" t="s">
        <v>36</v>
      </c>
      <c r="B13" s="19" t="s">
        <v>37</v>
      </c>
      <c r="C13" s="19" t="s">
        <v>84</v>
      </c>
      <c r="D13" s="19" t="s">
        <v>38</v>
      </c>
      <c r="E13" s="19" t="s">
        <v>32</v>
      </c>
      <c r="F13" s="19">
        <f>BoardQty*1</f>
        <v>1</v>
      </c>
      <c r="H13" s="20">
        <f>IF(AND(ISNUMBER(F13),ISNUMBER(G13)),F13*G13,"")</f>
        <v/>
      </c>
    </row>
    <row r="14" spans="1:8" ht="30" customHeight="1">
      <c r="A14" s="19" t="s">
        <v>42</v>
      </c>
      <c r="B14" s="19" t="s">
        <v>43</v>
      </c>
      <c r="D14" s="19" t="s">
        <v>44</v>
      </c>
      <c r="E14" s="19" t="s">
        <v>45</v>
      </c>
      <c r="F14" s="19">
        <f>BoardQty*1</f>
        <v>1</v>
      </c>
      <c r="H14" s="20">
        <f>IF(AND(ISNUMBER(F14),ISNUMBER(G14)),F14*G14,"")</f>
        <v/>
      </c>
    </row>
    <row r="15" spans="1:8">
      <c r="A15" s="19" t="s">
        <v>49</v>
      </c>
      <c r="B15" s="19" t="s">
        <v>50</v>
      </c>
      <c r="D15" s="19" t="s">
        <v>51</v>
      </c>
      <c r="F15" s="19">
        <f>CEILING(BoardQty*2,1)</f>
        <v>2</v>
      </c>
      <c r="H15" s="20">
        <f>IF(AND(ISNUMBER(F15),ISNUMBER(G15)),F15*G15,"")</f>
        <v/>
      </c>
    </row>
    <row r="18" spans="1:2">
      <c r="A18" s="21" t="s">
        <v>88</v>
      </c>
      <c r="B18" s="22" t="s">
        <v>89</v>
      </c>
    </row>
    <row r="19" spans="1:2">
      <c r="A19"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conditionalFormatting sqref="F12">
    <cfRule type="expression" dxfId="0" priority="3">
      <formula>AND(ISBLANK(E12),TRUE())</formula>
    </cfRule>
  </conditionalFormatting>
  <conditionalFormatting sqref="F13">
    <cfRule type="expression" dxfId="0" priority="4">
      <formula>AND(ISBLANK(E13),TRUE())</formula>
    </cfRule>
  </conditionalFormatting>
  <conditionalFormatting sqref="F14">
    <cfRule type="expression" dxfId="0" priority="5">
      <formula>AND(ISBLANK(E14),TRUE())</formula>
    </cfRule>
  </conditionalFormatting>
  <conditionalFormatting sqref="F15">
    <cfRule type="expression" dxfId="0" priority="6">
      <formula>AND(ISBLANK(E15),TRUE())</formula>
    </cfRule>
  </conditionalFormatting>
  <hyperlinks>
    <hyperlink ref="E10" r:id="rId1"/>
    <hyperlink ref="E11" r:id="rId2"/>
    <hyperlink ref="E12" r:id="rId3"/>
    <hyperlink ref="E13" r:id="rId4"/>
    <hyperlink ref="E14" r:id="rId5"/>
  </hyperlinks>
  <pageMargins left="0.7" right="0.7" top="0.75" bottom="0.75" header="0.3" footer="0.3"/>
  <drawing r:id="rId6"/>
  <legacyDrawing r:id="rId7"/>
</worksheet>
</file>

<file path=xl/worksheets/sheet4.xml><?xml version="1.0" encoding="utf-8"?>
<worksheet xmlns="http://schemas.openxmlformats.org/spreadsheetml/2006/main" xmlns:r="http://schemas.openxmlformats.org/officeDocument/2006/relationships">
  <dimension ref="A1:H15"/>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12.7109375" customWidth="1"/>
    <col min="2" max="2" width="9.7109375" customWidth="1"/>
    <col min="3" max="3" width="14.7109375" customWidth="1" outlineLevel="2"/>
    <col min="4" max="4" width="47.7109375" customWidth="1" outlineLevel="2"/>
    <col min="5" max="5" width="5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SUM(H10:H11)</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c r="A10" s="19" t="s">
        <v>72</v>
      </c>
      <c r="B10" s="19" t="s">
        <v>30</v>
      </c>
      <c r="D10" s="19" t="s">
        <v>31</v>
      </c>
      <c r="E10" s="19" t="s">
        <v>32</v>
      </c>
      <c r="F10" s="19">
        <f>BoardQty*1</f>
        <v>1</v>
      </c>
      <c r="H10" s="20">
        <f>IF(AND(ISNUMBER(F10),ISNUMBER(G10)),F10*G10,"")</f>
        <v/>
      </c>
    </row>
    <row r="11" spans="1:8">
      <c r="A11" s="19" t="s">
        <v>74</v>
      </c>
      <c r="B11" s="19" t="s">
        <v>75</v>
      </c>
      <c r="C11" s="19" t="s">
        <v>91</v>
      </c>
      <c r="D11" s="19" t="s">
        <v>76</v>
      </c>
      <c r="E11" s="19" t="s">
        <v>77</v>
      </c>
      <c r="F11" s="19">
        <f>CEILING(BoardQty*2,1)</f>
        <v>2</v>
      </c>
      <c r="H11" s="20">
        <f>IF(AND(ISNUMBER(F11),ISNUMBER(G11)),F11*G11,"")</f>
        <v/>
      </c>
    </row>
    <row r="14" spans="1:8">
      <c r="A14" s="21" t="s">
        <v>88</v>
      </c>
      <c r="B14" s="22" t="s">
        <v>89</v>
      </c>
    </row>
    <row r="15" spans="1:8">
      <c r="A15"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hyperlinks>
    <hyperlink ref="E10" r:id="rId1"/>
    <hyperlink ref="E11" r:id="rId2"/>
  </hyperlinks>
  <pageMargins left="0.7" right="0.7" top="0.75" bottom="0.75" header="0.3" footer="0.3"/>
  <drawing r:id="rId3"/>
  <legacyDrawing r:id="rId4"/>
</worksheet>
</file>

<file path=xl/worksheets/sheet5.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92</v>
      </c>
    </row>
    <row r="2" spans="1:1">
      <c r="A2" s="7" t="s">
        <v>93</v>
      </c>
    </row>
    <row r="3" spans="1:1">
      <c r="A3" s="5" t="s">
        <v>94</v>
      </c>
    </row>
    <row r="4" spans="1:1">
      <c r="A4" s="8" t="s">
        <v>95</v>
      </c>
    </row>
    <row r="5" spans="1:1">
      <c r="A5" s="6" t="s">
        <v>96</v>
      </c>
    </row>
    <row r="7" spans="1:1">
      <c r="A7" t="s">
        <v>97</v>
      </c>
    </row>
    <row r="8" spans="1:1">
      <c r="A8" s="24" t="s">
        <v>98</v>
      </c>
    </row>
    <row r="9" spans="1:1">
      <c r="A9" s="25" t="s">
        <v>99</v>
      </c>
    </row>
    <row r="10" spans="1:1">
      <c r="A10" s="26" t="s">
        <v>100</v>
      </c>
    </row>
    <row r="11" spans="1:1">
      <c r="A11" s="27" t="s">
        <v>101</v>
      </c>
    </row>
    <row r="12" spans="1:1">
      <c r="A12" s="28" t="s">
        <v>102</v>
      </c>
    </row>
    <row r="13" spans="1:1">
      <c r="A13" s="29" t="s">
        <v>103</v>
      </c>
    </row>
    <row r="14" spans="1:1">
      <c r="A14" s="30" t="s">
        <v>104</v>
      </c>
    </row>
    <row r="15" spans="1:1">
      <c r="A15" s="31" t="s">
        <v>105</v>
      </c>
    </row>
    <row r="16" spans="1:1">
      <c r="A16" s="32" t="s">
        <v>106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BoM</vt:lpstr>
      <vt:lpstr>DNF</vt:lpstr>
      <vt:lpstr>Costs</vt:lpstr>
      <vt:lpstr>Costs (DNF)</vt:lpstr>
      <vt:lpstr>Colors</vt:lpstr>
      <vt:lpstr>'Costs (DNF)'!BoardQty</vt:lpstr>
      <vt:lpstr>'Costs'!BoardQty</vt:lpstr>
      <vt:lpstr>BoM!Print_Titles</vt:lpstr>
      <vt:lpstr>DNF!Print_Titles</vt:lpstr>
      <vt:lpstr>'Costs (DNF)'!TotalCost</vt:lpstr>
      <vt:lpstr>'Costs'!TotalCost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2026-04-14T21:55:23Z</dcterms:created>
  <dcterms:modified xsi:type="dcterms:W3CDTF">2026-04-14T21:55:23Z</dcterms:modified>
</cp:coreProperties>
</file>